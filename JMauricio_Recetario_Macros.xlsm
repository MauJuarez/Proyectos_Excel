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mman\Downloads\"/>
    </mc:Choice>
  </mc:AlternateContent>
  <bookViews>
    <workbookView xWindow="0" yWindow="0" windowWidth="23040" windowHeight="9060" tabRatio="852"/>
  </bookViews>
  <sheets>
    <sheet name="RECETARIO" sheetId="1" r:id="rId1"/>
    <sheet name="Ingredientes" sheetId="2" r:id="rId2"/>
    <sheet name="Sánguche de Tocino" sheetId="3" r:id="rId3"/>
    <sheet name="Chile con Carne" sheetId="4" r:id="rId4"/>
    <sheet name="Spagetti a la Bolognesa" sheetId="5" r:id="rId5"/>
    <sheet name="Ensalada de Pollo" sheetId="6" r:id="rId6"/>
    <sheet name="Desayuno Inglés" sheetId="10" r:id="rId7"/>
    <sheet name="Pastel de Ternera" sheetId="8" r:id="rId8"/>
    <sheet name="Pastel de Cordero" sheetId="9" r:id="rId9"/>
  </sheets>
  <definedNames>
    <definedName name="Ingredientes">OFFSET(Ingredientes!$A$1,0,0,COUNTA(Ingredientes!$A:$A),1)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9" l="1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12" i="3"/>
  <c r="D13" i="3"/>
  <c r="D14" i="3"/>
  <c r="D15" i="3"/>
  <c r="D16" i="3"/>
  <c r="D17" i="3"/>
  <c r="D18" i="3"/>
  <c r="D19" i="3"/>
  <c r="D20" i="3"/>
  <c r="D6" i="3"/>
  <c r="D7" i="3"/>
  <c r="D8" i="3"/>
  <c r="D9" i="3"/>
  <c r="D10" i="3"/>
  <c r="D11" i="3"/>
  <c r="G5" i="1"/>
  <c r="I6" i="1"/>
  <c r="K7" i="1"/>
  <c r="G9" i="1"/>
  <c r="I10" i="1"/>
  <c r="K11" i="1"/>
  <c r="H5" i="1"/>
  <c r="J6" i="1"/>
  <c r="L7" i="1"/>
  <c r="H9" i="1"/>
  <c r="J10" i="1"/>
  <c r="L11" i="1"/>
  <c r="G10" i="1"/>
  <c r="L8" i="1"/>
  <c r="I5" i="1"/>
  <c r="K6" i="1"/>
  <c r="G8" i="1"/>
  <c r="I9" i="1"/>
  <c r="K10" i="1"/>
  <c r="G7" i="1"/>
  <c r="I8" i="1"/>
  <c r="G11" i="1"/>
  <c r="I11" i="1"/>
  <c r="J11" i="1"/>
  <c r="J5" i="1"/>
  <c r="L6" i="1"/>
  <c r="H8" i="1"/>
  <c r="J9" i="1"/>
  <c r="L10" i="1"/>
  <c r="K5" i="1"/>
  <c r="K9" i="1"/>
  <c r="L9" i="1"/>
  <c r="H6" i="1"/>
  <c r="L5" i="1"/>
  <c r="H7" i="1"/>
  <c r="J8" i="1"/>
  <c r="H11" i="1"/>
  <c r="J7" i="1"/>
  <c r="G6" i="1"/>
  <c r="I7" i="1"/>
  <c r="K8" i="1"/>
  <c r="H10" i="1"/>
  <c r="F8" i="1"/>
  <c r="F6" i="1"/>
  <c r="F9" i="1"/>
  <c r="F7" i="1"/>
  <c r="F10" i="1"/>
  <c r="F11" i="1"/>
  <c r="F5" i="1"/>
  <c r="B7" i="1" l="1"/>
  <c r="B11" i="1"/>
  <c r="B9" i="1"/>
  <c r="B10" i="1"/>
  <c r="B8" i="1"/>
  <c r="B6" i="1"/>
  <c r="B5" i="1"/>
  <c r="D11" i="1"/>
  <c r="D10" i="1"/>
  <c r="D7" i="1"/>
  <c r="D9" i="1"/>
  <c r="D6" i="1"/>
  <c r="D8" i="1"/>
  <c r="D5" i="1"/>
</calcChain>
</file>

<file path=xl/sharedStrings.xml><?xml version="1.0" encoding="utf-8"?>
<sst xmlns="http://schemas.openxmlformats.org/spreadsheetml/2006/main" count="163" uniqueCount="47">
  <si>
    <t>RECETARIO</t>
  </si>
  <si>
    <t>Comida</t>
  </si>
  <si>
    <t>Descripción</t>
  </si>
  <si>
    <t>Enlace</t>
  </si>
  <si>
    <t>% Posible</t>
  </si>
  <si>
    <t>Chile con Carne</t>
  </si>
  <si>
    <t>Porciones</t>
  </si>
  <si>
    <t>Ingredientes</t>
  </si>
  <si>
    <t>Cantidad</t>
  </si>
  <si>
    <t>Unidad de Medida</t>
  </si>
  <si>
    <t>Carne</t>
  </si>
  <si>
    <t>Gramo(s)</t>
  </si>
  <si>
    <t>Frijol Riñón</t>
  </si>
  <si>
    <t>Tomates en Conserva</t>
  </si>
  <si>
    <t>Pimiento Rojo</t>
  </si>
  <si>
    <t>Unidad</t>
  </si>
  <si>
    <t>Pimiento Verde</t>
  </si>
  <si>
    <t>Chile en Polvo</t>
  </si>
  <si>
    <t>A gusto</t>
  </si>
  <si>
    <t>Spagetti a la Bolognesa</t>
  </si>
  <si>
    <t>Oregano</t>
  </si>
  <si>
    <t>Spagetti</t>
  </si>
  <si>
    <t>Ensalada de Pollo</t>
  </si>
  <si>
    <t>Pechuga de Pollo</t>
  </si>
  <si>
    <t>Lechuga</t>
  </si>
  <si>
    <t>Tomate</t>
  </si>
  <si>
    <t>Pepino</t>
  </si>
  <si>
    <t>Quedo</t>
  </si>
  <si>
    <t>Zanahoria</t>
  </si>
  <si>
    <t>Chatni</t>
  </si>
  <si>
    <t>Desayuno Inglés</t>
  </si>
  <si>
    <t>Tocino</t>
  </si>
  <si>
    <t>Rebanada(s)</t>
  </si>
  <si>
    <t>Chorizo</t>
  </si>
  <si>
    <t>Unidad(es)</t>
  </si>
  <si>
    <t>Huevos</t>
  </si>
  <si>
    <t>Pastel de Ternera</t>
  </si>
  <si>
    <t>Papas</t>
  </si>
  <si>
    <t>Nabas</t>
  </si>
  <si>
    <t>Brocoli</t>
  </si>
  <si>
    <t>Coliflor</t>
  </si>
  <si>
    <t>Pastel de Cordero</t>
  </si>
  <si>
    <t>Cordero</t>
  </si>
  <si>
    <t>Sánguche de Tocino</t>
  </si>
  <si>
    <t>Manteca</t>
  </si>
  <si>
    <t>Pan</t>
  </si>
  <si>
    <t>ELIJE TUS INGREDIENTES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</si>
</sst>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rgb="FF60943C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60943C"/>
        <bgColor indexed="64"/>
      </patternFill>
    </fill>
    <fill>
      <patternFill patternType="solid">
        <fgColor rgb="FF6BA743"/>
        <bgColor indexed="64"/>
      </patternFill>
    </fill>
    <fill>
      <patternFill patternType="solid">
        <fgColor rgb="FF76B64A"/>
        <bgColor indexed="64"/>
      </patternFill>
    </fill>
    <fill>
      <patternFill patternType="solid">
        <fgColor rgb="FF80BC58"/>
        <bgColor indexed="64"/>
      </patternFill>
    </fill>
    <fill>
      <patternFill patternType="solid">
        <fgColor rgb="FF95C773"/>
        <bgColor indexed="64"/>
      </patternFill>
    </fill>
    <fill>
      <patternFill patternType="solid">
        <fgColor rgb="FF6BDA5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16">
    <xf numFmtId="0" fontId="0" fillId="0" borderId="0" xfId="0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4" fillId="7" borderId="0" xfId="0" applyFont="1" applyFill="1"/>
    <xf numFmtId="0" fontId="0" fillId="9" borderId="0" xfId="0" applyFill="1"/>
    <xf numFmtId="0" fontId="1" fillId="10" borderId="0" xfId="0" applyFont="1" applyFill="1"/>
    <xf numFmtId="0" fontId="5" fillId="8" borderId="0" xfId="1" quotePrefix="1" applyFill="1"/>
    <xf numFmtId="0" fontId="2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9" fontId="0" fillId="9" borderId="0" xfId="2" applyFont="1" applyFill="1"/>
  </cellXfs>
  <cellStyles count="3">
    <cellStyle name="Hipervínculo" xfId="1" builtinId="8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175260</xdr:rowOff>
        </xdr:from>
        <xdr:to>
          <xdr:col>4</xdr:col>
          <xdr:colOff>769620</xdr:colOff>
          <xdr:row>2</xdr:row>
          <xdr:rowOff>144780</xdr:rowOff>
        </xdr:to>
        <xdr:sp macro="" textlink="">
          <xdr:nvSpPr>
            <xdr:cNvPr id="12289" name="Botó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Lista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121920</xdr:colOff>
          <xdr:row>0</xdr:row>
          <xdr:rowOff>76200</xdr:rowOff>
        </xdr:from>
        <xdr:to>
          <xdr:col>3</xdr:col>
          <xdr:colOff>137160</xdr:colOff>
          <xdr:row>1</xdr:row>
          <xdr:rowOff>91440</xdr:rowOff>
        </xdr:to>
        <xdr:sp macro="" textlink="">
          <xdr:nvSpPr>
            <xdr:cNvPr id="3073" name="Botó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121920</xdr:colOff>
          <xdr:row>0</xdr:row>
          <xdr:rowOff>76200</xdr:rowOff>
        </xdr:from>
        <xdr:to>
          <xdr:col>3</xdr:col>
          <xdr:colOff>137160</xdr:colOff>
          <xdr:row>1</xdr:row>
          <xdr:rowOff>91440</xdr:rowOff>
        </xdr:to>
        <xdr:sp macro="" textlink="">
          <xdr:nvSpPr>
            <xdr:cNvPr id="6145" name="Botó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441960</xdr:colOff>
          <xdr:row>0</xdr:row>
          <xdr:rowOff>76200</xdr:rowOff>
        </xdr:from>
        <xdr:to>
          <xdr:col>3</xdr:col>
          <xdr:colOff>457200</xdr:colOff>
          <xdr:row>1</xdr:row>
          <xdr:rowOff>91440</xdr:rowOff>
        </xdr:to>
        <xdr:sp macro="" textlink="">
          <xdr:nvSpPr>
            <xdr:cNvPr id="7169" name="Botó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121920</xdr:colOff>
          <xdr:row>0</xdr:row>
          <xdr:rowOff>76200</xdr:rowOff>
        </xdr:from>
        <xdr:to>
          <xdr:col>3</xdr:col>
          <xdr:colOff>137160</xdr:colOff>
          <xdr:row>1</xdr:row>
          <xdr:rowOff>91440</xdr:rowOff>
        </xdr:to>
        <xdr:sp macro="" textlink="">
          <xdr:nvSpPr>
            <xdr:cNvPr id="8193" name="Botó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121920</xdr:colOff>
          <xdr:row>0</xdr:row>
          <xdr:rowOff>76200</xdr:rowOff>
        </xdr:from>
        <xdr:to>
          <xdr:col>3</xdr:col>
          <xdr:colOff>137160</xdr:colOff>
          <xdr:row>1</xdr:row>
          <xdr:rowOff>91440</xdr:rowOff>
        </xdr:to>
        <xdr:sp macro="" textlink="">
          <xdr:nvSpPr>
            <xdr:cNvPr id="9217" name="Botó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121920</xdr:colOff>
          <xdr:row>0</xdr:row>
          <xdr:rowOff>76200</xdr:rowOff>
        </xdr:from>
        <xdr:to>
          <xdr:col>3</xdr:col>
          <xdr:colOff>137160</xdr:colOff>
          <xdr:row>1</xdr:row>
          <xdr:rowOff>91440</xdr:rowOff>
        </xdr:to>
        <xdr:sp macro="" textlink="">
          <xdr:nvSpPr>
            <xdr:cNvPr id="10241" name="Botó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121920</xdr:colOff>
          <xdr:row>0</xdr:row>
          <xdr:rowOff>76200</xdr:rowOff>
        </xdr:from>
        <xdr:to>
          <xdr:col>3</xdr:col>
          <xdr:colOff>137160</xdr:colOff>
          <xdr:row>1</xdr:row>
          <xdr:rowOff>91440</xdr:rowOff>
        </xdr:to>
        <xdr:sp macro="" textlink="">
          <xdr:nvSpPr>
            <xdr:cNvPr id="11265" name="Botó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12"/>
  <sheetViews>
    <sheetView tabSelected="1" workbookViewId="0">
      <selection activeCell="F20" sqref="F20"/>
    </sheetView>
  </sheetViews>
  <sheetFormatPr baseColWidth="10" defaultColWidth="11.44140625" defaultRowHeight="14.4" x14ac:dyDescent="0.3"/>
  <cols>
    <col min="1" max="1" width="20.44140625" style="6" bestFit="1" customWidth="1"/>
    <col min="2" max="2" width="21.77734375" style="6" bestFit="1" customWidth="1"/>
    <col min="3" max="5" width="11.44140625" style="6"/>
    <col min="6" max="6" width="16.109375" style="6" customWidth="1"/>
    <col min="7" max="7" width="28.109375" style="6" bestFit="1" customWidth="1"/>
    <col min="8" max="12" width="16.109375" style="6" customWidth="1"/>
    <col min="13" max="16384" width="11.44140625" style="6"/>
  </cols>
  <sheetData>
    <row r="1" spans="1:12" ht="44.25" customHeight="1" x14ac:dyDescent="0.3">
      <c r="A1" s="12" t="s">
        <v>0</v>
      </c>
      <c r="B1" s="12"/>
      <c r="C1" s="12"/>
      <c r="D1" s="12"/>
      <c r="E1" s="12"/>
      <c r="F1" s="1"/>
      <c r="G1" s="2"/>
      <c r="H1" s="3"/>
      <c r="I1" s="4"/>
      <c r="J1" s="5"/>
    </row>
    <row r="3" spans="1:12" x14ac:dyDescent="0.3">
      <c r="F3" s="13" t="s">
        <v>46</v>
      </c>
      <c r="G3" s="13"/>
      <c r="H3" s="13"/>
      <c r="I3" s="13"/>
      <c r="J3" s="13"/>
      <c r="K3" s="13"/>
      <c r="L3" s="13"/>
    </row>
    <row r="4" spans="1:12" x14ac:dyDescent="0.3">
      <c r="A4" s="7" t="s">
        <v>1</v>
      </c>
      <c r="B4" s="7" t="s">
        <v>2</v>
      </c>
      <c r="C4" s="7" t="s">
        <v>3</v>
      </c>
      <c r="D4" s="7" t="s">
        <v>4</v>
      </c>
      <c r="E4" s="7"/>
      <c r="F4" s="7" t="s">
        <v>42</v>
      </c>
      <c r="G4" s="7" t="s">
        <v>37</v>
      </c>
      <c r="H4" s="7" t="s">
        <v>38</v>
      </c>
      <c r="I4" s="7" t="s">
        <v>28</v>
      </c>
      <c r="J4" s="7" t="s">
        <v>39</v>
      </c>
      <c r="K4" s="7" t="s">
        <v>40</v>
      </c>
      <c r="L4" s="7"/>
    </row>
    <row r="5" spans="1:12" x14ac:dyDescent="0.3">
      <c r="A5" s="11" t="s">
        <v>43</v>
      </c>
      <c r="B5" s="6" t="str">
        <f ca="1">IF(ISNUMBER(MATCH("Pendiente",'Sánguche de Tocino'!D6:D20,0)),"Ingredientes Incompletos","Ingredientes Completos")</f>
        <v>Ingredientes Completos</v>
      </c>
      <c r="D5" s="15">
        <f ca="1">COUNTIF(F5:L5,"Si lleva")/COUNTA(INDIRECT("'"&amp;A5&amp;"'!A6:A20"))</f>
        <v>0</v>
      </c>
      <c r="F5" s="14" t="str">
        <f ca="1">IF(ISNUMBER(MATCH(F$4,INDIRECT("'"&amp;$A5&amp;"'!A:A"),0)),"Si lleva","No lleva")</f>
        <v>No lleva</v>
      </c>
      <c r="G5" s="14" t="str">
        <f t="shared" ref="G5:L5" ca="1" si="0">IF(ISNUMBER(MATCH(G$4,INDIRECT("'"&amp;$A5&amp;"'!A:A"),0)),"Si lleva","No lleva")</f>
        <v>No lleva</v>
      </c>
      <c r="H5" s="14" t="str">
        <f t="shared" ca="1" si="0"/>
        <v>No lleva</v>
      </c>
      <c r="I5" s="14" t="str">
        <f t="shared" ca="1" si="0"/>
        <v>No lleva</v>
      </c>
      <c r="J5" s="14" t="str">
        <f t="shared" ca="1" si="0"/>
        <v>No lleva</v>
      </c>
      <c r="K5" s="14" t="str">
        <f t="shared" ca="1" si="0"/>
        <v>No lleva</v>
      </c>
      <c r="L5" s="14" t="str">
        <f t="shared" ca="1" si="0"/>
        <v>No lleva</v>
      </c>
    </row>
    <row r="6" spans="1:12" x14ac:dyDescent="0.3">
      <c r="A6" s="11" t="s">
        <v>5</v>
      </c>
      <c r="B6" s="6" t="str">
        <f ca="1">IF(ISNUMBER(MATCH("Pendiente",'Chile con Carne'!D6:D20,0)),"Ingredientes Incompletos","Ingredientes Completos")</f>
        <v>Ingredientes Completos</v>
      </c>
      <c r="D6" s="15">
        <f t="shared" ref="D6:D11" ca="1" si="1">COUNTIF(F6:L6,"Si lleva")/COUNTA(INDIRECT("'"&amp;A6&amp;"'!A6:A20"))</f>
        <v>0</v>
      </c>
      <c r="F6" s="14" t="str">
        <f t="shared" ref="F6:L11" ca="1" si="2">IF(ISNUMBER(MATCH(F$4,INDIRECT("'"&amp;$A6&amp;"'!A:A"),0)),"Si lleva","No lleva")</f>
        <v>No lleva</v>
      </c>
      <c r="G6" s="14" t="str">
        <f t="shared" ca="1" si="2"/>
        <v>No lleva</v>
      </c>
      <c r="H6" s="14" t="str">
        <f t="shared" ca="1" si="2"/>
        <v>No lleva</v>
      </c>
      <c r="I6" s="14" t="str">
        <f t="shared" ca="1" si="2"/>
        <v>No lleva</v>
      </c>
      <c r="J6" s="14" t="str">
        <f t="shared" ca="1" si="2"/>
        <v>No lleva</v>
      </c>
      <c r="K6" s="14" t="str">
        <f t="shared" ca="1" si="2"/>
        <v>No lleva</v>
      </c>
      <c r="L6" s="14" t="str">
        <f t="shared" ca="1" si="2"/>
        <v>No lleva</v>
      </c>
    </row>
    <row r="7" spans="1:12" x14ac:dyDescent="0.3">
      <c r="A7" s="11" t="s">
        <v>19</v>
      </c>
      <c r="B7" s="6" t="str">
        <f ca="1">IF(ISNUMBER(MATCH("Pendiente",'Spagetti a la Bolognesa'!D6:D20,0)),"Ingredientes Incompletos","Ingredientes Completos")</f>
        <v>Ingredientes Completos</v>
      </c>
      <c r="D7" s="15">
        <f t="shared" ca="1" si="1"/>
        <v>0</v>
      </c>
      <c r="F7" s="14" t="str">
        <f t="shared" ca="1" si="2"/>
        <v>No lleva</v>
      </c>
      <c r="G7" s="14" t="str">
        <f t="shared" ca="1" si="2"/>
        <v>No lleva</v>
      </c>
      <c r="H7" s="14" t="str">
        <f t="shared" ca="1" si="2"/>
        <v>No lleva</v>
      </c>
      <c r="I7" s="14" t="str">
        <f t="shared" ca="1" si="2"/>
        <v>No lleva</v>
      </c>
      <c r="J7" s="14" t="str">
        <f t="shared" ca="1" si="2"/>
        <v>No lleva</v>
      </c>
      <c r="K7" s="14" t="str">
        <f t="shared" ca="1" si="2"/>
        <v>No lleva</v>
      </c>
      <c r="L7" s="14" t="str">
        <f t="shared" ca="1" si="2"/>
        <v>No lleva</v>
      </c>
    </row>
    <row r="8" spans="1:12" x14ac:dyDescent="0.3">
      <c r="A8" s="11" t="s">
        <v>22</v>
      </c>
      <c r="B8" s="6" t="str">
        <f ca="1">IF(ISNUMBER(MATCH("Pendiente",'Ensalada de Pollo'!D6:D20,0)),"Ingredientes Incompletos","Ingredientes Completos")</f>
        <v>Ingredientes Completos</v>
      </c>
      <c r="D8" s="15">
        <f t="shared" ca="1" si="1"/>
        <v>0.14285714285714285</v>
      </c>
      <c r="F8" s="14" t="str">
        <f ca="1">IF(ISNUMBER(MATCH(F$4,INDIRECT("'"&amp;$A8&amp;"'!A:A"),0)),"Si lleva","No lleva")</f>
        <v>No lleva</v>
      </c>
      <c r="G8" s="14" t="str">
        <f t="shared" ca="1" si="2"/>
        <v>No lleva</v>
      </c>
      <c r="H8" s="14" t="str">
        <f t="shared" ca="1" si="2"/>
        <v>No lleva</v>
      </c>
      <c r="I8" s="14" t="str">
        <f t="shared" ca="1" si="2"/>
        <v>Si lleva</v>
      </c>
      <c r="J8" s="14" t="str">
        <f t="shared" ca="1" si="2"/>
        <v>No lleva</v>
      </c>
      <c r="K8" s="14" t="str">
        <f t="shared" ca="1" si="2"/>
        <v>No lleva</v>
      </c>
      <c r="L8" s="14" t="str">
        <f t="shared" ca="1" si="2"/>
        <v>No lleva</v>
      </c>
    </row>
    <row r="9" spans="1:12" x14ac:dyDescent="0.3">
      <c r="A9" s="11" t="s">
        <v>30</v>
      </c>
      <c r="B9" s="6" t="str">
        <f ca="1">IF(ISNUMBER(MATCH("Pendiente",'Desayuno Inglés'!D6:D20,0)),"Ingredientes Incompletos","Ingredientes Completos")</f>
        <v>Ingredientes Completos</v>
      </c>
      <c r="D9" s="15">
        <f t="shared" ca="1" si="1"/>
        <v>0</v>
      </c>
      <c r="F9" s="14" t="str">
        <f t="shared" ca="1" si="2"/>
        <v>No lleva</v>
      </c>
      <c r="G9" s="14" t="str">
        <f t="shared" ca="1" si="2"/>
        <v>No lleva</v>
      </c>
      <c r="H9" s="14" t="str">
        <f t="shared" ca="1" si="2"/>
        <v>No lleva</v>
      </c>
      <c r="I9" s="14" t="str">
        <f t="shared" ca="1" si="2"/>
        <v>No lleva</v>
      </c>
      <c r="J9" s="14" t="str">
        <f t="shared" ca="1" si="2"/>
        <v>No lleva</v>
      </c>
      <c r="K9" s="14" t="str">
        <f t="shared" ca="1" si="2"/>
        <v>No lleva</v>
      </c>
      <c r="L9" s="14" t="str">
        <f t="shared" ca="1" si="2"/>
        <v>No lleva</v>
      </c>
    </row>
    <row r="10" spans="1:12" x14ac:dyDescent="0.3">
      <c r="A10" s="11" t="s">
        <v>36</v>
      </c>
      <c r="B10" s="6" t="str">
        <f ca="1">IF(ISNUMBER(MATCH("Pendiente",'Pastel de Ternera'!D6:D20,0)),"Ingredientes Incompletos","Ingredientes Completos")</f>
        <v>Ingredientes Completos</v>
      </c>
      <c r="D10" s="15">
        <f t="shared" ca="1" si="1"/>
        <v>0.83333333333333337</v>
      </c>
      <c r="F10" s="14" t="str">
        <f t="shared" ca="1" si="2"/>
        <v>No lleva</v>
      </c>
      <c r="G10" s="14" t="str">
        <f t="shared" ca="1" si="2"/>
        <v>Si lleva</v>
      </c>
      <c r="H10" s="14" t="str">
        <f t="shared" ca="1" si="2"/>
        <v>Si lleva</v>
      </c>
      <c r="I10" s="14" t="str">
        <f t="shared" ca="1" si="2"/>
        <v>Si lleva</v>
      </c>
      <c r="J10" s="14" t="str">
        <f t="shared" ca="1" si="2"/>
        <v>Si lleva</v>
      </c>
      <c r="K10" s="14" t="str">
        <f t="shared" ca="1" si="2"/>
        <v>Si lleva</v>
      </c>
      <c r="L10" s="14" t="str">
        <f t="shared" ca="1" si="2"/>
        <v>No lleva</v>
      </c>
    </row>
    <row r="11" spans="1:12" x14ac:dyDescent="0.3">
      <c r="A11" s="11" t="s">
        <v>41</v>
      </c>
      <c r="B11" s="6" t="str">
        <f ca="1">IF(ISNUMBER(MATCH("Pendiente",'Pastel de Cordero'!D6:D20,0)),"Ingredientes Incompletos","Ingredientes Completos")</f>
        <v>Ingredientes Completos</v>
      </c>
      <c r="D11" s="15">
        <f t="shared" ca="1" si="1"/>
        <v>1</v>
      </c>
      <c r="F11" s="14" t="str">
        <f t="shared" ca="1" si="2"/>
        <v>Si lleva</v>
      </c>
      <c r="G11" s="14" t="str">
        <f t="shared" ca="1" si="2"/>
        <v>Si lleva</v>
      </c>
      <c r="H11" s="14" t="str">
        <f t="shared" ca="1" si="2"/>
        <v>Si lleva</v>
      </c>
      <c r="I11" s="14" t="str">
        <f t="shared" ca="1" si="2"/>
        <v>Si lleva</v>
      </c>
      <c r="J11" s="14" t="str">
        <f t="shared" ca="1" si="2"/>
        <v>Si lleva</v>
      </c>
      <c r="K11" s="14" t="str">
        <f t="shared" ca="1" si="2"/>
        <v>Si lleva</v>
      </c>
      <c r="L11" s="14" t="str">
        <f t="shared" ca="1" si="2"/>
        <v>No lleva</v>
      </c>
    </row>
    <row r="12" spans="1:12" x14ac:dyDescent="0.3">
      <c r="F12" s="14"/>
      <c r="G12" s="14"/>
      <c r="H12" s="14"/>
      <c r="I12" s="14"/>
      <c r="J12" s="14"/>
      <c r="K12" s="14"/>
      <c r="L12" s="14"/>
    </row>
  </sheetData>
  <mergeCells count="2">
    <mergeCell ref="A1:E1"/>
    <mergeCell ref="F3:L3"/>
  </mergeCells>
  <conditionalFormatting sqref="D5:D11">
    <cfRule type="iconSet" priority="1">
      <iconSet iconSet="3Symbols">
        <cfvo type="percent" val="0"/>
        <cfvo type="percent" val="0" gte="0"/>
        <cfvo type="num" val="0.99" gte="0"/>
      </iconSet>
    </cfRule>
  </conditionalFormatting>
  <dataValidations count="1">
    <dataValidation type="list" allowBlank="1" showInputMessage="1" showErrorMessage="1" sqref="F4:L4">
      <formula1>Ingredientes</formula1>
    </dataValidation>
  </dataValidations>
  <hyperlinks>
    <hyperlink ref="A5" location="'Sánguche de Tocino'!A1" tooltip="Ir a Receta" display="Sánguche de Tocino"/>
    <hyperlink ref="A6" location="'Chile con Carne'!A1" tooltip="Ir a Receta" display="Chile con Carne"/>
    <hyperlink ref="A7" location="'Spagetti a la Bolognesa'!A1" tooltip="Ir a Receta" display="'Spagetti a la Bolognesa"/>
    <hyperlink ref="A8" location="'Ensalada de Pollo'!A1" tooltip="Ir a Receta" display="Ensalada de Pollo"/>
    <hyperlink ref="A9" location="'Desayuno Inglés'!A1" tooltip="Ir a Receta" display="'Desayuno Inglés"/>
    <hyperlink ref="A10" location="'Pastel de Ternera'!A1" tooltip="Ir a Receta" display="'Pastel de Ternera"/>
    <hyperlink ref="A11" location="'Pastel de Cordero'!A1" tooltip="Ir a Receta" display="'Pastel de Cordero'!A1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25"/>
  <sheetViews>
    <sheetView workbookViewId="0">
      <selection activeCell="A26" sqref="A26"/>
    </sheetView>
  </sheetViews>
  <sheetFormatPr baseColWidth="10" defaultRowHeight="14.4" x14ac:dyDescent="0.3"/>
  <cols>
    <col min="1" max="1" width="19.109375" bestFit="1" customWidth="1"/>
  </cols>
  <sheetData>
    <row r="1" spans="1:1" x14ac:dyDescent="0.3">
      <c r="A1" s="9" t="s">
        <v>39</v>
      </c>
    </row>
    <row r="2" spans="1:1" x14ac:dyDescent="0.3">
      <c r="A2" t="s">
        <v>10</v>
      </c>
    </row>
    <row r="3" spans="1:1" x14ac:dyDescent="0.3">
      <c r="A3" s="9" t="s">
        <v>29</v>
      </c>
    </row>
    <row r="4" spans="1:1" x14ac:dyDescent="0.3">
      <c r="A4" t="s">
        <v>17</v>
      </c>
    </row>
    <row r="5" spans="1:1" x14ac:dyDescent="0.3">
      <c r="A5" s="9" t="s">
        <v>33</v>
      </c>
    </row>
    <row r="6" spans="1:1" x14ac:dyDescent="0.3">
      <c r="A6" s="9" t="s">
        <v>40</v>
      </c>
    </row>
    <row r="7" spans="1:1" x14ac:dyDescent="0.3">
      <c r="A7" s="9" t="s">
        <v>42</v>
      </c>
    </row>
    <row r="8" spans="1:1" x14ac:dyDescent="0.3">
      <c r="A8" t="s">
        <v>12</v>
      </c>
    </row>
    <row r="9" spans="1:1" x14ac:dyDescent="0.3">
      <c r="A9" s="9" t="s">
        <v>35</v>
      </c>
    </row>
    <row r="10" spans="1:1" x14ac:dyDescent="0.3">
      <c r="A10" t="s">
        <v>24</v>
      </c>
    </row>
    <row r="11" spans="1:1" x14ac:dyDescent="0.3">
      <c r="A11" s="9" t="s">
        <v>44</v>
      </c>
    </row>
    <row r="12" spans="1:1" x14ac:dyDescent="0.3">
      <c r="A12" s="9" t="s">
        <v>38</v>
      </c>
    </row>
    <row r="13" spans="1:1" x14ac:dyDescent="0.3">
      <c r="A13" s="9" t="s">
        <v>20</v>
      </c>
    </row>
    <row r="14" spans="1:1" x14ac:dyDescent="0.3">
      <c r="A14" t="s">
        <v>45</v>
      </c>
    </row>
    <row r="15" spans="1:1" x14ac:dyDescent="0.3">
      <c r="A15" s="9" t="s">
        <v>37</v>
      </c>
    </row>
    <row r="16" spans="1:1" x14ac:dyDescent="0.3">
      <c r="A16" s="9" t="s">
        <v>23</v>
      </c>
    </row>
    <row r="17" spans="1:1" x14ac:dyDescent="0.3">
      <c r="A17" s="9" t="s">
        <v>26</v>
      </c>
    </row>
    <row r="18" spans="1:1" x14ac:dyDescent="0.3">
      <c r="A18" t="s">
        <v>14</v>
      </c>
    </row>
    <row r="19" spans="1:1" x14ac:dyDescent="0.3">
      <c r="A19" t="s">
        <v>16</v>
      </c>
    </row>
    <row r="20" spans="1:1" x14ac:dyDescent="0.3">
      <c r="A20" s="9" t="s">
        <v>27</v>
      </c>
    </row>
    <row r="21" spans="1:1" x14ac:dyDescent="0.3">
      <c r="A21" s="9" t="s">
        <v>21</v>
      </c>
    </row>
    <row r="22" spans="1:1" x14ac:dyDescent="0.3">
      <c r="A22" t="s">
        <v>31</v>
      </c>
    </row>
    <row r="23" spans="1:1" x14ac:dyDescent="0.3">
      <c r="A23" t="s">
        <v>25</v>
      </c>
    </row>
    <row r="24" spans="1:1" x14ac:dyDescent="0.3">
      <c r="A24" t="s">
        <v>13</v>
      </c>
    </row>
    <row r="25" spans="1:1" x14ac:dyDescent="0.3">
      <c r="A25" s="9" t="s">
        <v>28</v>
      </c>
    </row>
  </sheetData>
  <sortState ref="A1:A1000">
    <sortCondition ref="A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LimpairDuplicados">
                <anchor moveWithCells="1" sizeWithCells="1">
                  <from>
                    <xdr:col>2</xdr:col>
                    <xdr:colOff>0</xdr:colOff>
                    <xdr:row>0</xdr:row>
                    <xdr:rowOff>175260</xdr:rowOff>
                  </from>
                  <to>
                    <xdr:col>4</xdr:col>
                    <xdr:colOff>769620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D20"/>
  <sheetViews>
    <sheetView workbookViewId="0">
      <selection activeCell="H25" sqref="H25"/>
    </sheetView>
  </sheetViews>
  <sheetFormatPr baseColWidth="10" defaultColWidth="11.44140625" defaultRowHeight="14.4" x14ac:dyDescent="0.3"/>
  <cols>
    <col min="1" max="1" width="23.6640625" style="1" bestFit="1" customWidth="1"/>
    <col min="2" max="2" width="8.88671875" style="1" bestFit="1" customWidth="1"/>
    <col min="3" max="3" width="17.33203125" style="1" bestFit="1" customWidth="1"/>
    <col min="4" max="16384" width="11.44140625" style="1"/>
  </cols>
  <sheetData>
    <row r="1" spans="1:4" ht="18" x14ac:dyDescent="0.35">
      <c r="A1" s="8" t="s">
        <v>43</v>
      </c>
    </row>
    <row r="3" spans="1:4" x14ac:dyDescent="0.3">
      <c r="A3" s="9" t="s">
        <v>6</v>
      </c>
      <c r="B3" s="9">
        <v>1</v>
      </c>
    </row>
    <row r="5" spans="1:4" x14ac:dyDescent="0.3">
      <c r="A5" s="10" t="s">
        <v>7</v>
      </c>
      <c r="B5" s="10" t="s">
        <v>8</v>
      </c>
      <c r="C5" s="10" t="s">
        <v>9</v>
      </c>
    </row>
    <row r="6" spans="1:4" x14ac:dyDescent="0.3">
      <c r="A6" s="9" t="s">
        <v>31</v>
      </c>
      <c r="B6" s="9">
        <v>3</v>
      </c>
      <c r="C6" s="9" t="s">
        <v>32</v>
      </c>
      <c r="D6" s="9" t="str">
        <f t="shared" ref="D6:D20" ca="1" si="0">IF(ISBLANK(A6),"",IF(ISNUMBER(MATCH(A6,Ingredientes,0)),"Cargado","Pendiente"))</f>
        <v>Cargado</v>
      </c>
    </row>
    <row r="7" spans="1:4" x14ac:dyDescent="0.3">
      <c r="A7" s="9" t="s">
        <v>24</v>
      </c>
      <c r="B7" s="9">
        <v>50</v>
      </c>
      <c r="C7" s="9" t="s">
        <v>11</v>
      </c>
      <c r="D7" s="9" t="str">
        <f t="shared" ca="1" si="0"/>
        <v>Cargado</v>
      </c>
    </row>
    <row r="8" spans="1:4" x14ac:dyDescent="0.3">
      <c r="A8" s="9" t="s">
        <v>25</v>
      </c>
      <c r="B8" s="9">
        <v>1</v>
      </c>
      <c r="C8" s="9" t="s">
        <v>34</v>
      </c>
      <c r="D8" s="9" t="str">
        <f t="shared" ca="1" si="0"/>
        <v>Cargado</v>
      </c>
    </row>
    <row r="9" spans="1:4" x14ac:dyDescent="0.3">
      <c r="A9" s="9" t="s">
        <v>44</v>
      </c>
      <c r="B9" s="9">
        <v>20</v>
      </c>
      <c r="C9" s="9" t="s">
        <v>11</v>
      </c>
      <c r="D9" s="9" t="str">
        <f t="shared" ca="1" si="0"/>
        <v>Cargado</v>
      </c>
    </row>
    <row r="10" spans="1:4" x14ac:dyDescent="0.3">
      <c r="A10" s="9" t="s">
        <v>45</v>
      </c>
      <c r="B10" s="9">
        <v>2</v>
      </c>
      <c r="C10" s="9" t="s">
        <v>32</v>
      </c>
      <c r="D10" s="9" t="str">
        <f t="shared" ca="1" si="0"/>
        <v>Cargado</v>
      </c>
    </row>
    <row r="11" spans="1:4" x14ac:dyDescent="0.3">
      <c r="A11" s="9"/>
      <c r="B11" s="9"/>
      <c r="C11" s="9"/>
      <c r="D11" s="9" t="str">
        <f t="shared" si="0"/>
        <v/>
      </c>
    </row>
    <row r="12" spans="1:4" x14ac:dyDescent="0.3">
      <c r="A12" s="9"/>
      <c r="B12" s="9"/>
      <c r="C12" s="9"/>
      <c r="D12" s="9" t="str">
        <f t="shared" si="0"/>
        <v/>
      </c>
    </row>
    <row r="13" spans="1:4" x14ac:dyDescent="0.3">
      <c r="A13" s="9"/>
      <c r="B13" s="9"/>
      <c r="C13" s="9"/>
      <c r="D13" s="9" t="str">
        <f t="shared" si="0"/>
        <v/>
      </c>
    </row>
    <row r="14" spans="1:4" x14ac:dyDescent="0.3">
      <c r="A14" s="9"/>
      <c r="B14" s="9"/>
      <c r="C14" s="9"/>
      <c r="D14" s="9" t="str">
        <f t="shared" si="0"/>
        <v/>
      </c>
    </row>
    <row r="15" spans="1:4" x14ac:dyDescent="0.3">
      <c r="A15" s="9"/>
      <c r="B15" s="9"/>
      <c r="C15" s="9"/>
      <c r="D15" s="9" t="str">
        <f t="shared" si="0"/>
        <v/>
      </c>
    </row>
    <row r="16" spans="1:4" x14ac:dyDescent="0.3">
      <c r="A16" s="9"/>
      <c r="B16" s="9"/>
      <c r="C16" s="9"/>
      <c r="D16" s="9" t="str">
        <f t="shared" si="0"/>
        <v/>
      </c>
    </row>
    <row r="17" spans="1:4" x14ac:dyDescent="0.3">
      <c r="A17" s="9"/>
      <c r="B17" s="9"/>
      <c r="C17" s="9"/>
      <c r="D17" s="9" t="str">
        <f t="shared" si="0"/>
        <v/>
      </c>
    </row>
    <row r="18" spans="1:4" x14ac:dyDescent="0.3">
      <c r="A18" s="9"/>
      <c r="B18" s="9"/>
      <c r="C18" s="9"/>
      <c r="D18" s="9" t="str">
        <f t="shared" si="0"/>
        <v/>
      </c>
    </row>
    <row r="19" spans="1:4" x14ac:dyDescent="0.3">
      <c r="A19" s="9"/>
      <c r="B19" s="9"/>
      <c r="C19" s="9"/>
      <c r="D19" s="9" t="str">
        <f t="shared" si="0"/>
        <v/>
      </c>
    </row>
    <row r="20" spans="1:4" x14ac:dyDescent="0.3">
      <c r="A20" s="9"/>
      <c r="B20" s="9"/>
      <c r="C20" s="9"/>
      <c r="D20" s="9" t="str">
        <f t="shared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raHoja1">
                <anchor moveWithCells="1" sizeWithCells="1">
                  <from>
                    <xdr:col>2</xdr:col>
                    <xdr:colOff>121920</xdr:colOff>
                    <xdr:row>0</xdr:row>
                    <xdr:rowOff>76200</xdr:rowOff>
                  </from>
                  <to>
                    <xdr:col>3</xdr:col>
                    <xdr:colOff>137160</xdr:colOff>
                    <xdr:row>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D20"/>
  <sheetViews>
    <sheetView workbookViewId="0">
      <selection activeCell="D6" sqref="D6:D20"/>
    </sheetView>
  </sheetViews>
  <sheetFormatPr baseColWidth="10" defaultColWidth="11.44140625" defaultRowHeight="14.4" x14ac:dyDescent="0.3"/>
  <cols>
    <col min="1" max="1" width="23.6640625" style="1" bestFit="1" customWidth="1"/>
    <col min="2" max="2" width="8.88671875" style="1" bestFit="1" customWidth="1"/>
    <col min="3" max="3" width="17.33203125" style="1" bestFit="1" customWidth="1"/>
    <col min="4" max="16384" width="11.44140625" style="1"/>
  </cols>
  <sheetData>
    <row r="1" spans="1:4" ht="18" x14ac:dyDescent="0.35">
      <c r="A1" s="8" t="s">
        <v>5</v>
      </c>
    </row>
    <row r="3" spans="1:4" x14ac:dyDescent="0.3">
      <c r="A3" s="9" t="s">
        <v>6</v>
      </c>
      <c r="B3" s="9">
        <v>1</v>
      </c>
    </row>
    <row r="5" spans="1:4" x14ac:dyDescent="0.3">
      <c r="A5" s="10" t="s">
        <v>7</v>
      </c>
      <c r="B5" s="10" t="s">
        <v>8</v>
      </c>
      <c r="C5" s="10" t="s">
        <v>9</v>
      </c>
    </row>
    <row r="6" spans="1:4" x14ac:dyDescent="0.3">
      <c r="A6" s="9" t="s">
        <v>10</v>
      </c>
      <c r="B6" s="9">
        <v>500</v>
      </c>
      <c r="C6" s="9" t="s">
        <v>11</v>
      </c>
      <c r="D6" s="9" t="str">
        <f t="shared" ref="D6:D20" ca="1" si="0">IF(ISBLANK(A6),"",IF(ISNUMBER(MATCH(A6,Ingredientes,0)),"Cargado","Pendiente"))</f>
        <v>Cargado</v>
      </c>
    </row>
    <row r="7" spans="1:4" x14ac:dyDescent="0.3">
      <c r="A7" s="9" t="s">
        <v>12</v>
      </c>
      <c r="B7" s="9">
        <v>240</v>
      </c>
      <c r="C7" s="9" t="s">
        <v>11</v>
      </c>
      <c r="D7" s="9" t="str">
        <f t="shared" ca="1" si="0"/>
        <v>Cargado</v>
      </c>
    </row>
    <row r="8" spans="1:4" x14ac:dyDescent="0.3">
      <c r="A8" s="9" t="s">
        <v>13</v>
      </c>
      <c r="B8" s="9">
        <v>400</v>
      </c>
      <c r="C8" s="9" t="s">
        <v>11</v>
      </c>
      <c r="D8" s="9" t="str">
        <f t="shared" ca="1" si="0"/>
        <v>Cargado</v>
      </c>
    </row>
    <row r="9" spans="1:4" x14ac:dyDescent="0.3">
      <c r="A9" s="9" t="s">
        <v>14</v>
      </c>
      <c r="B9" s="9">
        <v>1</v>
      </c>
      <c r="C9" s="9" t="s">
        <v>15</v>
      </c>
      <c r="D9" s="9" t="str">
        <f t="shared" ca="1" si="0"/>
        <v>Cargado</v>
      </c>
    </row>
    <row r="10" spans="1:4" x14ac:dyDescent="0.3">
      <c r="A10" s="9" t="s">
        <v>16</v>
      </c>
      <c r="B10" s="9">
        <v>1</v>
      </c>
      <c r="C10" s="9" t="s">
        <v>15</v>
      </c>
      <c r="D10" s="9" t="str">
        <f t="shared" ca="1" si="0"/>
        <v>Cargado</v>
      </c>
    </row>
    <row r="11" spans="1:4" x14ac:dyDescent="0.3">
      <c r="A11" s="9" t="s">
        <v>17</v>
      </c>
      <c r="B11" s="9">
        <v>1</v>
      </c>
      <c r="C11" s="9" t="s">
        <v>18</v>
      </c>
      <c r="D11" s="9" t="str">
        <f t="shared" ca="1" si="0"/>
        <v>Cargado</v>
      </c>
    </row>
    <row r="12" spans="1:4" x14ac:dyDescent="0.3">
      <c r="A12" s="9"/>
      <c r="B12" s="9"/>
      <c r="C12" s="9"/>
      <c r="D12" s="9" t="str">
        <f t="shared" si="0"/>
        <v/>
      </c>
    </row>
    <row r="13" spans="1:4" x14ac:dyDescent="0.3">
      <c r="A13" s="9"/>
      <c r="B13" s="9"/>
      <c r="C13" s="9"/>
      <c r="D13" s="9" t="str">
        <f t="shared" si="0"/>
        <v/>
      </c>
    </row>
    <row r="14" spans="1:4" x14ac:dyDescent="0.3">
      <c r="A14" s="9"/>
      <c r="B14" s="9"/>
      <c r="C14" s="9"/>
      <c r="D14" s="9" t="str">
        <f t="shared" si="0"/>
        <v/>
      </c>
    </row>
    <row r="15" spans="1:4" x14ac:dyDescent="0.3">
      <c r="A15" s="9"/>
      <c r="B15" s="9"/>
      <c r="C15" s="9"/>
      <c r="D15" s="9" t="str">
        <f t="shared" si="0"/>
        <v/>
      </c>
    </row>
    <row r="16" spans="1:4" x14ac:dyDescent="0.3">
      <c r="A16" s="9"/>
      <c r="B16" s="9"/>
      <c r="C16" s="9"/>
      <c r="D16" s="9" t="str">
        <f t="shared" si="0"/>
        <v/>
      </c>
    </row>
    <row r="17" spans="1:4" x14ac:dyDescent="0.3">
      <c r="A17" s="9"/>
      <c r="B17" s="9"/>
      <c r="C17" s="9"/>
      <c r="D17" s="9" t="str">
        <f t="shared" si="0"/>
        <v/>
      </c>
    </row>
    <row r="18" spans="1:4" x14ac:dyDescent="0.3">
      <c r="A18" s="9"/>
      <c r="B18" s="9"/>
      <c r="C18" s="9"/>
      <c r="D18" s="9" t="str">
        <f t="shared" si="0"/>
        <v/>
      </c>
    </row>
    <row r="19" spans="1:4" x14ac:dyDescent="0.3">
      <c r="A19" s="9"/>
      <c r="B19" s="9"/>
      <c r="C19" s="9"/>
      <c r="D19" s="9" t="str">
        <f t="shared" si="0"/>
        <v/>
      </c>
    </row>
    <row r="20" spans="1:4" x14ac:dyDescent="0.3">
      <c r="A20" s="9"/>
      <c r="B20" s="9"/>
      <c r="C20" s="9"/>
      <c r="D20" s="9" t="str">
        <f t="shared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raHoja1">
                <anchor moveWithCells="1" sizeWithCells="1">
                  <from>
                    <xdr:col>2</xdr:col>
                    <xdr:colOff>121920</xdr:colOff>
                    <xdr:row>0</xdr:row>
                    <xdr:rowOff>76200</xdr:rowOff>
                  </from>
                  <to>
                    <xdr:col>3</xdr:col>
                    <xdr:colOff>137160</xdr:colOff>
                    <xdr:row>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D20"/>
  <sheetViews>
    <sheetView workbookViewId="0">
      <selection activeCell="D6" sqref="D6:D20"/>
    </sheetView>
  </sheetViews>
  <sheetFormatPr baseColWidth="10" defaultColWidth="11.44140625" defaultRowHeight="14.4" x14ac:dyDescent="0.3"/>
  <cols>
    <col min="1" max="1" width="27.88671875" style="1" bestFit="1" customWidth="1"/>
    <col min="2" max="2" width="8.88671875" style="1" bestFit="1" customWidth="1"/>
    <col min="3" max="3" width="17.33203125" style="1" bestFit="1" customWidth="1"/>
    <col min="4" max="16384" width="11.44140625" style="1"/>
  </cols>
  <sheetData>
    <row r="1" spans="1:4" ht="18" x14ac:dyDescent="0.35">
      <c r="A1" s="8" t="s">
        <v>19</v>
      </c>
    </row>
    <row r="3" spans="1:4" x14ac:dyDescent="0.3">
      <c r="A3" s="9" t="s">
        <v>6</v>
      </c>
      <c r="B3" s="9">
        <v>2</v>
      </c>
    </row>
    <row r="5" spans="1:4" x14ac:dyDescent="0.3">
      <c r="A5" s="10" t="s">
        <v>7</v>
      </c>
      <c r="B5" s="10" t="s">
        <v>8</v>
      </c>
      <c r="C5" s="10" t="s">
        <v>9</v>
      </c>
    </row>
    <row r="6" spans="1:4" x14ac:dyDescent="0.3">
      <c r="A6" s="9" t="s">
        <v>10</v>
      </c>
      <c r="B6" s="9">
        <v>500</v>
      </c>
      <c r="C6" s="9" t="s">
        <v>11</v>
      </c>
      <c r="D6" s="9" t="str">
        <f t="shared" ref="D6:D20" ca="1" si="0">IF(ISBLANK(A6),"",IF(ISNUMBER(MATCH(A6,Ingredientes,0)),"Cargado","Pendiente"))</f>
        <v>Cargado</v>
      </c>
    </row>
    <row r="7" spans="1:4" x14ac:dyDescent="0.3">
      <c r="A7" s="9" t="s">
        <v>20</v>
      </c>
      <c r="B7" s="9">
        <v>240</v>
      </c>
      <c r="C7" s="9" t="s">
        <v>11</v>
      </c>
      <c r="D7" s="9" t="str">
        <f t="shared" ca="1" si="0"/>
        <v>Cargado</v>
      </c>
    </row>
    <row r="8" spans="1:4" x14ac:dyDescent="0.3">
      <c r="A8" s="9" t="s">
        <v>13</v>
      </c>
      <c r="B8" s="9">
        <v>400</v>
      </c>
      <c r="C8" s="9" t="s">
        <v>11</v>
      </c>
      <c r="D8" s="9" t="str">
        <f t="shared" ca="1" si="0"/>
        <v>Cargado</v>
      </c>
    </row>
    <row r="9" spans="1:4" x14ac:dyDescent="0.3">
      <c r="A9" s="9" t="s">
        <v>14</v>
      </c>
      <c r="B9" s="9">
        <v>1</v>
      </c>
      <c r="C9" s="9" t="s">
        <v>15</v>
      </c>
      <c r="D9" s="9" t="str">
        <f t="shared" ca="1" si="0"/>
        <v>Cargado</v>
      </c>
    </row>
    <row r="10" spans="1:4" x14ac:dyDescent="0.3">
      <c r="A10" s="9" t="s">
        <v>16</v>
      </c>
      <c r="B10" s="9">
        <v>1</v>
      </c>
      <c r="C10" s="9" t="s">
        <v>15</v>
      </c>
      <c r="D10" s="9" t="str">
        <f t="shared" ca="1" si="0"/>
        <v>Cargado</v>
      </c>
    </row>
    <row r="11" spans="1:4" x14ac:dyDescent="0.3">
      <c r="A11" s="9" t="s">
        <v>21</v>
      </c>
      <c r="B11" s="9">
        <v>50</v>
      </c>
      <c r="C11" s="9" t="s">
        <v>11</v>
      </c>
      <c r="D11" s="9" t="str">
        <f t="shared" ca="1" si="0"/>
        <v>Cargado</v>
      </c>
    </row>
    <row r="12" spans="1:4" x14ac:dyDescent="0.3">
      <c r="A12" s="9"/>
      <c r="B12" s="9"/>
      <c r="C12" s="9"/>
      <c r="D12" s="9" t="str">
        <f t="shared" si="0"/>
        <v/>
      </c>
    </row>
    <row r="13" spans="1:4" x14ac:dyDescent="0.3">
      <c r="A13" s="9"/>
      <c r="B13" s="9"/>
      <c r="C13" s="9"/>
      <c r="D13" s="9" t="str">
        <f t="shared" si="0"/>
        <v/>
      </c>
    </row>
    <row r="14" spans="1:4" x14ac:dyDescent="0.3">
      <c r="A14" s="9"/>
      <c r="B14" s="9"/>
      <c r="C14" s="9"/>
      <c r="D14" s="9" t="str">
        <f t="shared" si="0"/>
        <v/>
      </c>
    </row>
    <row r="15" spans="1:4" x14ac:dyDescent="0.3">
      <c r="A15" s="9"/>
      <c r="B15" s="9"/>
      <c r="C15" s="9"/>
      <c r="D15" s="9" t="str">
        <f t="shared" si="0"/>
        <v/>
      </c>
    </row>
    <row r="16" spans="1:4" x14ac:dyDescent="0.3">
      <c r="A16" s="9"/>
      <c r="B16" s="9"/>
      <c r="C16" s="9"/>
      <c r="D16" s="9" t="str">
        <f t="shared" si="0"/>
        <v/>
      </c>
    </row>
    <row r="17" spans="1:4" x14ac:dyDescent="0.3">
      <c r="A17" s="9"/>
      <c r="B17" s="9"/>
      <c r="C17" s="9"/>
      <c r="D17" s="9" t="str">
        <f t="shared" si="0"/>
        <v/>
      </c>
    </row>
    <row r="18" spans="1:4" x14ac:dyDescent="0.3">
      <c r="A18" s="9"/>
      <c r="B18" s="9"/>
      <c r="C18" s="9"/>
      <c r="D18" s="9" t="str">
        <f t="shared" si="0"/>
        <v/>
      </c>
    </row>
    <row r="19" spans="1:4" x14ac:dyDescent="0.3">
      <c r="A19" s="9"/>
      <c r="B19" s="9"/>
      <c r="C19" s="9"/>
      <c r="D19" s="9" t="str">
        <f t="shared" si="0"/>
        <v/>
      </c>
    </row>
    <row r="20" spans="1:4" x14ac:dyDescent="0.3">
      <c r="A20" s="9"/>
      <c r="B20" s="9"/>
      <c r="C20" s="9"/>
      <c r="D20" s="9" t="str">
        <f t="shared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IraHoja1">
                <anchor moveWithCells="1" sizeWithCells="1">
                  <from>
                    <xdr:col>2</xdr:col>
                    <xdr:colOff>441960</xdr:colOff>
                    <xdr:row>0</xdr:row>
                    <xdr:rowOff>76200</xdr:rowOff>
                  </from>
                  <to>
                    <xdr:col>3</xdr:col>
                    <xdr:colOff>457200</xdr:colOff>
                    <xdr:row>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D20"/>
  <sheetViews>
    <sheetView workbookViewId="0">
      <selection activeCell="D6" sqref="D6:D20"/>
    </sheetView>
  </sheetViews>
  <sheetFormatPr baseColWidth="10" defaultColWidth="11.44140625" defaultRowHeight="14.4" x14ac:dyDescent="0.3"/>
  <cols>
    <col min="1" max="1" width="23.6640625" style="1" bestFit="1" customWidth="1"/>
    <col min="2" max="2" width="8.88671875" style="1" bestFit="1" customWidth="1"/>
    <col min="3" max="3" width="17.33203125" style="1" bestFit="1" customWidth="1"/>
    <col min="4" max="16384" width="11.44140625" style="1"/>
  </cols>
  <sheetData>
    <row r="1" spans="1:4" ht="18" x14ac:dyDescent="0.35">
      <c r="A1" s="8" t="s">
        <v>22</v>
      </c>
    </row>
    <row r="3" spans="1:4" x14ac:dyDescent="0.3">
      <c r="A3" s="9" t="s">
        <v>6</v>
      </c>
      <c r="B3" s="9">
        <v>1</v>
      </c>
    </row>
    <row r="5" spans="1:4" x14ac:dyDescent="0.3">
      <c r="A5" s="10" t="s">
        <v>7</v>
      </c>
      <c r="B5" s="10" t="s">
        <v>8</v>
      </c>
      <c r="C5" s="10" t="s">
        <v>9</v>
      </c>
    </row>
    <row r="6" spans="1:4" x14ac:dyDescent="0.3">
      <c r="A6" s="9" t="s">
        <v>23</v>
      </c>
      <c r="B6" s="9">
        <v>250</v>
      </c>
      <c r="C6" s="9" t="s">
        <v>11</v>
      </c>
      <c r="D6" s="9" t="str">
        <f t="shared" ref="D6:D20" ca="1" si="0">IF(ISBLANK(A6),"",IF(ISNUMBER(MATCH(A6,Ingredientes,0)),"Cargado","Pendiente"))</f>
        <v>Cargado</v>
      </c>
    </row>
    <row r="7" spans="1:4" x14ac:dyDescent="0.3">
      <c r="A7" s="9" t="s">
        <v>24</v>
      </c>
      <c r="B7" s="9">
        <v>100</v>
      </c>
      <c r="C7" s="9" t="s">
        <v>11</v>
      </c>
      <c r="D7" s="9" t="str">
        <f t="shared" ca="1" si="0"/>
        <v>Cargado</v>
      </c>
    </row>
    <row r="8" spans="1:4" x14ac:dyDescent="0.3">
      <c r="A8" s="9" t="s">
        <v>25</v>
      </c>
      <c r="B8" s="9">
        <v>100</v>
      </c>
      <c r="C8" s="9" t="s">
        <v>11</v>
      </c>
      <c r="D8" s="9" t="str">
        <f t="shared" ca="1" si="0"/>
        <v>Cargado</v>
      </c>
    </row>
    <row r="9" spans="1:4" x14ac:dyDescent="0.3">
      <c r="A9" s="9" t="s">
        <v>26</v>
      </c>
      <c r="B9" s="9">
        <v>50</v>
      </c>
      <c r="C9" s="9" t="s">
        <v>11</v>
      </c>
      <c r="D9" s="9" t="str">
        <f t="shared" ca="1" si="0"/>
        <v>Cargado</v>
      </c>
    </row>
    <row r="10" spans="1:4" x14ac:dyDescent="0.3">
      <c r="A10" s="9" t="s">
        <v>27</v>
      </c>
      <c r="B10" s="9">
        <v>50</v>
      </c>
      <c r="C10" s="9" t="s">
        <v>11</v>
      </c>
      <c r="D10" s="9" t="str">
        <f t="shared" ca="1" si="0"/>
        <v>Cargado</v>
      </c>
    </row>
    <row r="11" spans="1:4" x14ac:dyDescent="0.3">
      <c r="A11" s="9" t="s">
        <v>28</v>
      </c>
      <c r="B11" s="9">
        <v>50</v>
      </c>
      <c r="C11" s="9" t="s">
        <v>11</v>
      </c>
      <c r="D11" s="9" t="str">
        <f t="shared" ca="1" si="0"/>
        <v>Cargado</v>
      </c>
    </row>
    <row r="12" spans="1:4" x14ac:dyDescent="0.3">
      <c r="A12" s="9" t="s">
        <v>29</v>
      </c>
      <c r="B12" s="9">
        <v>30</v>
      </c>
      <c r="C12" s="9" t="s">
        <v>11</v>
      </c>
      <c r="D12" s="9" t="str">
        <f t="shared" ca="1" si="0"/>
        <v>Cargado</v>
      </c>
    </row>
    <row r="13" spans="1:4" x14ac:dyDescent="0.3">
      <c r="A13" s="9"/>
      <c r="B13" s="9"/>
      <c r="C13" s="9"/>
      <c r="D13" s="9" t="str">
        <f t="shared" si="0"/>
        <v/>
      </c>
    </row>
    <row r="14" spans="1:4" x14ac:dyDescent="0.3">
      <c r="A14" s="9"/>
      <c r="B14" s="9"/>
      <c r="C14" s="9"/>
      <c r="D14" s="9" t="str">
        <f t="shared" si="0"/>
        <v/>
      </c>
    </row>
    <row r="15" spans="1:4" x14ac:dyDescent="0.3">
      <c r="A15" s="9"/>
      <c r="B15" s="9"/>
      <c r="C15" s="9"/>
      <c r="D15" s="9" t="str">
        <f t="shared" si="0"/>
        <v/>
      </c>
    </row>
    <row r="16" spans="1:4" x14ac:dyDescent="0.3">
      <c r="A16" s="9"/>
      <c r="B16" s="9"/>
      <c r="C16" s="9"/>
      <c r="D16" s="9" t="str">
        <f t="shared" si="0"/>
        <v/>
      </c>
    </row>
    <row r="17" spans="1:4" x14ac:dyDescent="0.3">
      <c r="A17" s="9"/>
      <c r="B17" s="9"/>
      <c r="C17" s="9"/>
      <c r="D17" s="9" t="str">
        <f t="shared" si="0"/>
        <v/>
      </c>
    </row>
    <row r="18" spans="1:4" x14ac:dyDescent="0.3">
      <c r="A18" s="9"/>
      <c r="B18" s="9"/>
      <c r="C18" s="9"/>
      <c r="D18" s="9" t="str">
        <f t="shared" si="0"/>
        <v/>
      </c>
    </row>
    <row r="19" spans="1:4" x14ac:dyDescent="0.3">
      <c r="A19" s="9"/>
      <c r="B19" s="9"/>
      <c r="C19" s="9"/>
      <c r="D19" s="9" t="str">
        <f t="shared" si="0"/>
        <v/>
      </c>
    </row>
    <row r="20" spans="1:4" x14ac:dyDescent="0.3">
      <c r="A20" s="9"/>
      <c r="B20" s="9"/>
      <c r="C20" s="9"/>
      <c r="D20" s="9" t="str">
        <f t="shared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aHoja1">
                <anchor moveWithCells="1" sizeWithCells="1">
                  <from>
                    <xdr:col>2</xdr:col>
                    <xdr:colOff>121920</xdr:colOff>
                    <xdr:row>0</xdr:row>
                    <xdr:rowOff>76200</xdr:rowOff>
                  </from>
                  <to>
                    <xdr:col>3</xdr:col>
                    <xdr:colOff>137160</xdr:colOff>
                    <xdr:row>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D20"/>
  <sheetViews>
    <sheetView workbookViewId="0">
      <selection activeCell="C2" sqref="C2"/>
    </sheetView>
  </sheetViews>
  <sheetFormatPr baseColWidth="10" defaultColWidth="11.44140625" defaultRowHeight="14.4" x14ac:dyDescent="0.3"/>
  <cols>
    <col min="1" max="1" width="23.6640625" style="1" bestFit="1" customWidth="1"/>
    <col min="2" max="2" width="8.88671875" style="1" bestFit="1" customWidth="1"/>
    <col min="3" max="3" width="17.33203125" style="1" bestFit="1" customWidth="1"/>
    <col min="4" max="16384" width="11.44140625" style="1"/>
  </cols>
  <sheetData>
    <row r="1" spans="1:4" ht="18" x14ac:dyDescent="0.35">
      <c r="A1" s="8" t="s">
        <v>30</v>
      </c>
    </row>
    <row r="3" spans="1:4" x14ac:dyDescent="0.3">
      <c r="A3" s="9" t="s">
        <v>6</v>
      </c>
      <c r="B3" s="9">
        <v>1</v>
      </c>
    </row>
    <row r="5" spans="1:4" x14ac:dyDescent="0.3">
      <c r="A5" s="10" t="s">
        <v>7</v>
      </c>
      <c r="B5" s="10" t="s">
        <v>8</v>
      </c>
      <c r="C5" s="10" t="s">
        <v>9</v>
      </c>
    </row>
    <row r="6" spans="1:4" x14ac:dyDescent="0.3">
      <c r="A6" s="9" t="s">
        <v>31</v>
      </c>
      <c r="B6" s="9">
        <v>3</v>
      </c>
      <c r="C6" s="9" t="s">
        <v>32</v>
      </c>
      <c r="D6" s="9" t="str">
        <f t="shared" ref="D6:D20" ca="1" si="0">IF(ISBLANK(A6),"",IF(ISNUMBER(MATCH(A6,Ingredientes,0)),"Cargado","Pendiente"))</f>
        <v>Cargado</v>
      </c>
    </row>
    <row r="7" spans="1:4" x14ac:dyDescent="0.3">
      <c r="A7" s="9" t="s">
        <v>33</v>
      </c>
      <c r="B7" s="9">
        <v>2</v>
      </c>
      <c r="C7" s="9" t="s">
        <v>34</v>
      </c>
      <c r="D7" s="9" t="str">
        <f t="shared" ca="1" si="0"/>
        <v>Cargado</v>
      </c>
    </row>
    <row r="8" spans="1:4" x14ac:dyDescent="0.3">
      <c r="A8" s="9" t="s">
        <v>35</v>
      </c>
      <c r="B8" s="9">
        <v>2</v>
      </c>
      <c r="C8" s="9" t="s">
        <v>34</v>
      </c>
      <c r="D8" s="9" t="str">
        <f t="shared" ca="1" si="0"/>
        <v>Cargado</v>
      </c>
    </row>
    <row r="9" spans="1:4" x14ac:dyDescent="0.3">
      <c r="A9" s="9" t="s">
        <v>13</v>
      </c>
      <c r="B9" s="9">
        <v>100</v>
      </c>
      <c r="C9" s="9" t="s">
        <v>11</v>
      </c>
      <c r="D9" s="9" t="str">
        <f t="shared" ca="1" si="0"/>
        <v>Cargado</v>
      </c>
    </row>
    <row r="10" spans="1:4" x14ac:dyDescent="0.3">
      <c r="A10" s="9" t="s">
        <v>16</v>
      </c>
      <c r="B10" s="9">
        <v>1</v>
      </c>
      <c r="C10" s="9" t="s">
        <v>34</v>
      </c>
      <c r="D10" s="9" t="str">
        <f t="shared" ca="1" si="0"/>
        <v>Cargado</v>
      </c>
    </row>
    <row r="11" spans="1:4" x14ac:dyDescent="0.3">
      <c r="A11" s="9" t="s">
        <v>17</v>
      </c>
      <c r="B11" s="9">
        <v>1</v>
      </c>
      <c r="C11" s="9" t="s">
        <v>18</v>
      </c>
      <c r="D11" s="9" t="str">
        <f t="shared" ca="1" si="0"/>
        <v>Cargado</v>
      </c>
    </row>
    <row r="12" spans="1:4" x14ac:dyDescent="0.3">
      <c r="A12" s="9"/>
      <c r="B12" s="9"/>
      <c r="C12" s="9"/>
      <c r="D12" s="9" t="str">
        <f t="shared" si="0"/>
        <v/>
      </c>
    </row>
    <row r="13" spans="1:4" x14ac:dyDescent="0.3">
      <c r="A13" s="9"/>
      <c r="B13" s="9"/>
      <c r="C13" s="9"/>
      <c r="D13" s="9" t="str">
        <f t="shared" si="0"/>
        <v/>
      </c>
    </row>
    <row r="14" spans="1:4" x14ac:dyDescent="0.3">
      <c r="A14" s="9"/>
      <c r="B14" s="9"/>
      <c r="C14" s="9"/>
      <c r="D14" s="9" t="str">
        <f t="shared" si="0"/>
        <v/>
      </c>
    </row>
    <row r="15" spans="1:4" x14ac:dyDescent="0.3">
      <c r="A15" s="9"/>
      <c r="B15" s="9"/>
      <c r="C15" s="9"/>
      <c r="D15" s="9" t="str">
        <f t="shared" si="0"/>
        <v/>
      </c>
    </row>
    <row r="16" spans="1:4" x14ac:dyDescent="0.3">
      <c r="A16" s="9"/>
      <c r="B16" s="9"/>
      <c r="C16" s="9"/>
      <c r="D16" s="9" t="str">
        <f t="shared" si="0"/>
        <v/>
      </c>
    </row>
    <row r="17" spans="1:4" x14ac:dyDescent="0.3">
      <c r="A17" s="9"/>
      <c r="B17" s="9"/>
      <c r="C17" s="9"/>
      <c r="D17" s="9" t="str">
        <f t="shared" si="0"/>
        <v/>
      </c>
    </row>
    <row r="18" spans="1:4" x14ac:dyDescent="0.3">
      <c r="A18" s="9"/>
      <c r="B18" s="9"/>
      <c r="C18" s="9"/>
      <c r="D18" s="9" t="str">
        <f t="shared" si="0"/>
        <v/>
      </c>
    </row>
    <row r="19" spans="1:4" x14ac:dyDescent="0.3">
      <c r="A19" s="9"/>
      <c r="B19" s="9"/>
      <c r="C19" s="9"/>
      <c r="D19" s="9" t="str">
        <f t="shared" si="0"/>
        <v/>
      </c>
    </row>
    <row r="20" spans="1:4" x14ac:dyDescent="0.3">
      <c r="A20" s="9"/>
      <c r="B20" s="9"/>
      <c r="C20" s="9"/>
      <c r="D20" s="9" t="str">
        <f t="shared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IraHoja1">
                <anchor moveWithCells="1" sizeWithCells="1">
                  <from>
                    <xdr:col>2</xdr:col>
                    <xdr:colOff>121920</xdr:colOff>
                    <xdr:row>0</xdr:row>
                    <xdr:rowOff>76200</xdr:rowOff>
                  </from>
                  <to>
                    <xdr:col>3</xdr:col>
                    <xdr:colOff>137160</xdr:colOff>
                    <xdr:row>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D20"/>
  <sheetViews>
    <sheetView workbookViewId="0">
      <selection activeCell="H10" sqref="H10"/>
    </sheetView>
  </sheetViews>
  <sheetFormatPr baseColWidth="10" defaultColWidth="11.44140625" defaultRowHeight="14.4" x14ac:dyDescent="0.3"/>
  <cols>
    <col min="1" max="1" width="23.6640625" style="1" bestFit="1" customWidth="1"/>
    <col min="2" max="2" width="8.88671875" style="1" bestFit="1" customWidth="1"/>
    <col min="3" max="3" width="17.33203125" style="1" bestFit="1" customWidth="1"/>
    <col min="4" max="16384" width="11.44140625" style="1"/>
  </cols>
  <sheetData>
    <row r="1" spans="1:4" ht="18" x14ac:dyDescent="0.35">
      <c r="A1" s="8" t="s">
        <v>36</v>
      </c>
    </row>
    <row r="3" spans="1:4" x14ac:dyDescent="0.3">
      <c r="A3" s="9" t="s">
        <v>6</v>
      </c>
      <c r="B3" s="9">
        <v>1</v>
      </c>
    </row>
    <row r="5" spans="1:4" x14ac:dyDescent="0.3">
      <c r="A5" s="10" t="s">
        <v>7</v>
      </c>
      <c r="B5" s="10" t="s">
        <v>8</v>
      </c>
      <c r="C5" s="10" t="s">
        <v>9</v>
      </c>
    </row>
    <row r="6" spans="1:4" x14ac:dyDescent="0.3">
      <c r="A6" s="9" t="s">
        <v>10</v>
      </c>
      <c r="B6" s="9">
        <v>500</v>
      </c>
      <c r="C6" s="9" t="s">
        <v>11</v>
      </c>
      <c r="D6" s="9" t="str">
        <f t="shared" ref="D6:D20" ca="1" si="0">IF(ISBLANK(A6),"",IF(ISNUMBER(MATCH(A6,Ingredientes,0)),"Cargado","Pendiente"))</f>
        <v>Cargado</v>
      </c>
    </row>
    <row r="7" spans="1:4" x14ac:dyDescent="0.3">
      <c r="A7" s="9" t="s">
        <v>37</v>
      </c>
      <c r="B7" s="9">
        <v>200</v>
      </c>
      <c r="C7" s="9" t="s">
        <v>11</v>
      </c>
      <c r="D7" s="9" t="str">
        <f t="shared" ca="1" si="0"/>
        <v>Cargado</v>
      </c>
    </row>
    <row r="8" spans="1:4" x14ac:dyDescent="0.3">
      <c r="A8" s="9" t="s">
        <v>38</v>
      </c>
      <c r="B8" s="9">
        <v>200</v>
      </c>
      <c r="C8" s="9" t="s">
        <v>11</v>
      </c>
      <c r="D8" s="9" t="str">
        <f t="shared" ca="1" si="0"/>
        <v>Cargado</v>
      </c>
    </row>
    <row r="9" spans="1:4" x14ac:dyDescent="0.3">
      <c r="A9" s="9" t="s">
        <v>28</v>
      </c>
      <c r="B9" s="9">
        <v>50</v>
      </c>
      <c r="C9" s="9" t="s">
        <v>11</v>
      </c>
      <c r="D9" s="9" t="str">
        <f t="shared" ca="1" si="0"/>
        <v>Cargado</v>
      </c>
    </row>
    <row r="10" spans="1:4" x14ac:dyDescent="0.3">
      <c r="A10" s="9" t="s">
        <v>39</v>
      </c>
      <c r="B10" s="9">
        <v>50</v>
      </c>
      <c r="C10" s="9" t="s">
        <v>11</v>
      </c>
      <c r="D10" s="9" t="str">
        <f t="shared" ca="1" si="0"/>
        <v>Cargado</v>
      </c>
    </row>
    <row r="11" spans="1:4" x14ac:dyDescent="0.3">
      <c r="A11" s="9" t="s">
        <v>40</v>
      </c>
      <c r="B11" s="9">
        <v>50</v>
      </c>
      <c r="C11" s="9" t="s">
        <v>11</v>
      </c>
      <c r="D11" s="9" t="str">
        <f t="shared" ca="1" si="0"/>
        <v>Cargado</v>
      </c>
    </row>
    <row r="12" spans="1:4" x14ac:dyDescent="0.3">
      <c r="A12" s="9"/>
      <c r="B12" s="9"/>
      <c r="C12" s="9"/>
      <c r="D12" s="9" t="str">
        <f t="shared" si="0"/>
        <v/>
      </c>
    </row>
    <row r="13" spans="1:4" x14ac:dyDescent="0.3">
      <c r="A13" s="9"/>
      <c r="B13" s="9"/>
      <c r="C13" s="9"/>
      <c r="D13" s="9" t="str">
        <f t="shared" si="0"/>
        <v/>
      </c>
    </row>
    <row r="14" spans="1:4" x14ac:dyDescent="0.3">
      <c r="A14" s="9"/>
      <c r="B14" s="9"/>
      <c r="C14" s="9"/>
      <c r="D14" s="9" t="str">
        <f t="shared" si="0"/>
        <v/>
      </c>
    </row>
    <row r="15" spans="1:4" x14ac:dyDescent="0.3">
      <c r="A15" s="9"/>
      <c r="B15" s="9"/>
      <c r="C15" s="9"/>
      <c r="D15" s="9" t="str">
        <f t="shared" si="0"/>
        <v/>
      </c>
    </row>
    <row r="16" spans="1:4" x14ac:dyDescent="0.3">
      <c r="A16" s="9"/>
      <c r="B16" s="9"/>
      <c r="C16" s="9"/>
      <c r="D16" s="9" t="str">
        <f t="shared" si="0"/>
        <v/>
      </c>
    </row>
    <row r="17" spans="1:4" x14ac:dyDescent="0.3">
      <c r="A17" s="9"/>
      <c r="B17" s="9"/>
      <c r="C17" s="9"/>
      <c r="D17" s="9" t="str">
        <f t="shared" si="0"/>
        <v/>
      </c>
    </row>
    <row r="18" spans="1:4" x14ac:dyDescent="0.3">
      <c r="A18" s="9"/>
      <c r="B18" s="9"/>
      <c r="C18" s="9"/>
      <c r="D18" s="9" t="str">
        <f t="shared" si="0"/>
        <v/>
      </c>
    </row>
    <row r="19" spans="1:4" x14ac:dyDescent="0.3">
      <c r="A19" s="9"/>
      <c r="B19" s="9"/>
      <c r="C19" s="9"/>
      <c r="D19" s="9" t="str">
        <f t="shared" si="0"/>
        <v/>
      </c>
    </row>
    <row r="20" spans="1:4" x14ac:dyDescent="0.3">
      <c r="A20" s="9"/>
      <c r="B20" s="9"/>
      <c r="C20" s="9"/>
      <c r="D20" s="9" t="str">
        <f t="shared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IraHoja1">
                <anchor moveWithCells="1" sizeWithCells="1">
                  <from>
                    <xdr:col>2</xdr:col>
                    <xdr:colOff>121920</xdr:colOff>
                    <xdr:row>0</xdr:row>
                    <xdr:rowOff>76200</xdr:rowOff>
                  </from>
                  <to>
                    <xdr:col>3</xdr:col>
                    <xdr:colOff>137160</xdr:colOff>
                    <xdr:row>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D20"/>
  <sheetViews>
    <sheetView workbookViewId="0"/>
  </sheetViews>
  <sheetFormatPr baseColWidth="10" defaultColWidth="11.44140625" defaultRowHeight="14.4" x14ac:dyDescent="0.3"/>
  <cols>
    <col min="1" max="1" width="23.6640625" style="1" bestFit="1" customWidth="1"/>
    <col min="2" max="2" width="8.88671875" style="1" bestFit="1" customWidth="1"/>
    <col min="3" max="3" width="17.33203125" style="1" bestFit="1" customWidth="1"/>
    <col min="4" max="16384" width="11.44140625" style="1"/>
  </cols>
  <sheetData>
    <row r="1" spans="1:4" ht="18" x14ac:dyDescent="0.35">
      <c r="A1" s="8" t="s">
        <v>41</v>
      </c>
    </row>
    <row r="3" spans="1:4" x14ac:dyDescent="0.3">
      <c r="A3" s="9" t="s">
        <v>6</v>
      </c>
      <c r="B3" s="9">
        <v>1</v>
      </c>
    </row>
    <row r="5" spans="1:4" x14ac:dyDescent="0.3">
      <c r="A5" s="10" t="s">
        <v>7</v>
      </c>
      <c r="B5" s="10" t="s">
        <v>8</v>
      </c>
      <c r="C5" s="10" t="s">
        <v>9</v>
      </c>
    </row>
    <row r="6" spans="1:4" x14ac:dyDescent="0.3">
      <c r="A6" s="9" t="s">
        <v>42</v>
      </c>
      <c r="B6" s="9">
        <v>500</v>
      </c>
      <c r="C6" s="9" t="s">
        <v>11</v>
      </c>
      <c r="D6" s="9" t="str">
        <f t="shared" ref="D6:D20" ca="1" si="0">IF(ISBLANK(A6),"",IF(ISNUMBER(MATCH(A6,Ingredientes,0)),"Cargado","Pendiente"))</f>
        <v>Cargado</v>
      </c>
    </row>
    <row r="7" spans="1:4" x14ac:dyDescent="0.3">
      <c r="A7" s="9" t="s">
        <v>37</v>
      </c>
      <c r="B7" s="9">
        <v>200</v>
      </c>
      <c r="C7" s="9" t="s">
        <v>11</v>
      </c>
      <c r="D7" s="9" t="str">
        <f t="shared" ca="1" si="0"/>
        <v>Cargado</v>
      </c>
    </row>
    <row r="8" spans="1:4" x14ac:dyDescent="0.3">
      <c r="A8" s="9" t="s">
        <v>38</v>
      </c>
      <c r="B8" s="9">
        <v>200</v>
      </c>
      <c r="C8" s="9" t="s">
        <v>11</v>
      </c>
      <c r="D8" s="9" t="str">
        <f t="shared" ca="1" si="0"/>
        <v>Cargado</v>
      </c>
    </row>
    <row r="9" spans="1:4" x14ac:dyDescent="0.3">
      <c r="A9" s="9" t="s">
        <v>28</v>
      </c>
      <c r="B9" s="9">
        <v>50</v>
      </c>
      <c r="C9" s="9" t="s">
        <v>11</v>
      </c>
      <c r="D9" s="9" t="str">
        <f t="shared" ca="1" si="0"/>
        <v>Cargado</v>
      </c>
    </row>
    <row r="10" spans="1:4" x14ac:dyDescent="0.3">
      <c r="A10" s="9" t="s">
        <v>39</v>
      </c>
      <c r="B10" s="9">
        <v>50</v>
      </c>
      <c r="C10" s="9" t="s">
        <v>11</v>
      </c>
      <c r="D10" s="9" t="str">
        <f t="shared" ca="1" si="0"/>
        <v>Cargado</v>
      </c>
    </row>
    <row r="11" spans="1:4" x14ac:dyDescent="0.3">
      <c r="A11" s="9" t="s">
        <v>40</v>
      </c>
      <c r="B11" s="9">
        <v>50</v>
      </c>
      <c r="C11" s="9" t="s">
        <v>11</v>
      </c>
      <c r="D11" s="9" t="str">
        <f t="shared" ca="1" si="0"/>
        <v>Cargado</v>
      </c>
    </row>
    <row r="12" spans="1:4" x14ac:dyDescent="0.3">
      <c r="A12" s="9"/>
      <c r="B12" s="9"/>
      <c r="C12" s="9"/>
      <c r="D12" s="9" t="str">
        <f t="shared" si="0"/>
        <v/>
      </c>
    </row>
    <row r="13" spans="1:4" x14ac:dyDescent="0.3">
      <c r="A13" s="9"/>
      <c r="B13" s="9"/>
      <c r="C13" s="9"/>
      <c r="D13" s="9" t="str">
        <f t="shared" si="0"/>
        <v/>
      </c>
    </row>
    <row r="14" spans="1:4" x14ac:dyDescent="0.3">
      <c r="A14" s="9"/>
      <c r="B14" s="9"/>
      <c r="C14" s="9"/>
      <c r="D14" s="9" t="str">
        <f t="shared" si="0"/>
        <v/>
      </c>
    </row>
    <row r="15" spans="1:4" x14ac:dyDescent="0.3">
      <c r="A15" s="9"/>
      <c r="B15" s="9"/>
      <c r="C15" s="9"/>
      <c r="D15" s="9" t="str">
        <f t="shared" si="0"/>
        <v/>
      </c>
    </row>
    <row r="16" spans="1:4" x14ac:dyDescent="0.3">
      <c r="A16" s="9"/>
      <c r="B16" s="9"/>
      <c r="C16" s="9"/>
      <c r="D16" s="9" t="str">
        <f t="shared" si="0"/>
        <v/>
      </c>
    </row>
    <row r="17" spans="1:4" x14ac:dyDescent="0.3">
      <c r="A17" s="9"/>
      <c r="B17" s="9"/>
      <c r="C17" s="9"/>
      <c r="D17" s="9" t="str">
        <f t="shared" si="0"/>
        <v/>
      </c>
    </row>
    <row r="18" spans="1:4" x14ac:dyDescent="0.3">
      <c r="A18" s="9"/>
      <c r="B18" s="9"/>
      <c r="C18" s="9"/>
      <c r="D18" s="9" t="str">
        <f t="shared" si="0"/>
        <v/>
      </c>
    </row>
    <row r="19" spans="1:4" x14ac:dyDescent="0.3">
      <c r="A19" s="9"/>
      <c r="B19" s="9"/>
      <c r="C19" s="9"/>
      <c r="D19" s="9" t="str">
        <f t="shared" si="0"/>
        <v/>
      </c>
    </row>
    <row r="20" spans="1:4" x14ac:dyDescent="0.3">
      <c r="A20" s="9"/>
      <c r="B20" s="9"/>
      <c r="C20" s="9"/>
      <c r="D20" s="9" t="str">
        <f t="shared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IraHoja1">
                <anchor moveWithCells="1" sizeWithCells="1">
                  <from>
                    <xdr:col>2</xdr:col>
                    <xdr:colOff>121920</xdr:colOff>
                    <xdr:row>0</xdr:row>
                    <xdr:rowOff>76200</xdr:rowOff>
                  </from>
                  <to>
                    <xdr:col>3</xdr:col>
                    <xdr:colOff>137160</xdr:colOff>
                    <xdr:row>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RECETARIO</vt:lpstr>
      <vt:lpstr>Ingredientes</vt:lpstr>
      <vt:lpstr>Sánguche de Tocino</vt:lpstr>
      <vt:lpstr>Chile con Carne</vt:lpstr>
      <vt:lpstr>Spagetti a la Bolognesa</vt:lpstr>
      <vt:lpstr>Ensalada de Pollo</vt:lpstr>
      <vt:lpstr>Desayuno Inglés</vt:lpstr>
      <vt:lpstr>Pastel de Ternera</vt:lpstr>
      <vt:lpstr>Pastel de Cordero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FedeG</dc:creator>
  <cp:lastModifiedBy>Mauricio Juarez</cp:lastModifiedBy>
  <dcterms:created xsi:type="dcterms:W3CDTF">2021-06-14T13:58:27Z</dcterms:created>
  <dcterms:modified xsi:type="dcterms:W3CDTF">2023-02-05T23:16:35Z</dcterms:modified>
</cp:coreProperties>
</file>